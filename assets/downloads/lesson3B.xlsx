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Fund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[Red]($#,##0);-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medium">
        <color rgb="0000000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3" fillId="4" borderId="0" pivotButton="0" quotePrefix="0" xfId="0"/>
    <xf numFmtId="1" fontId="3" fillId="4" borderId="0" pivotButton="0" quotePrefix="0" xfId="0"/>
    <xf numFmtId="164" fontId="4" fillId="0" borderId="0" pivotButton="0" quotePrefix="0" xfId="0"/>
    <xf numFmtId="165" fontId="3" fillId="4" borderId="0" pivotButton="0" quotePrefix="0" xfId="0"/>
    <xf numFmtId="0" fontId="2" fillId="5" borderId="0" pivotButton="0" quotePrefix="0" xfId="0"/>
    <xf numFmtId="165" fontId="4" fillId="0" borderId="0" pivotButton="0" quotePrefix="0" xfId="0"/>
    <xf numFmtId="0" fontId="2" fillId="0" borderId="1" pivotButton="0" quotePrefix="0" xfId="0"/>
    <xf numFmtId="164" fontId="4" fillId="0" borderId="1" pivotButton="0" quotePrefix="0" xfId="0"/>
    <xf numFmtId="166" fontId="4" fillId="0" borderId="0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4" customWidth="1" min="4" max="4"/>
    <col width="18" customWidth="1" min="5" max="5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Emergency Fund Tracker</t>
        </is>
      </c>
    </row>
    <row r="3">
      <c r="A3" s="2" t="inlineStr">
        <is>
          <t>Essential Monthly Expenses</t>
        </is>
      </c>
      <c r="D3" s="2" t="inlineStr">
        <is>
          <t>Emergency Fund Assumptions</t>
        </is>
      </c>
      <c r="G3" s="2" t="inlineStr">
        <is>
          <t>12-Month Projection</t>
        </is>
      </c>
    </row>
    <row r="4">
      <c r="A4" t="inlineStr">
        <is>
          <t>Housing</t>
        </is>
      </c>
      <c r="B4" s="3" t="n">
        <v>1200</v>
      </c>
      <c r="D4" t="inlineStr">
        <is>
          <t>Target Months of Coverage</t>
        </is>
      </c>
      <c r="E4" s="4" t="n">
        <v>6</v>
      </c>
      <c r="G4" s="1" t="inlineStr">
        <is>
          <t>Month</t>
        </is>
      </c>
      <c r="H4" s="1" t="inlineStr">
        <is>
          <t>Beginning Balance</t>
        </is>
      </c>
      <c r="I4" s="1" t="inlineStr">
        <is>
          <t>Contribution</t>
        </is>
      </c>
      <c r="J4" s="1" t="inlineStr">
        <is>
          <t>Interest</t>
        </is>
      </c>
      <c r="K4" s="1" t="inlineStr">
        <is>
          <t>Ending Balance</t>
        </is>
      </c>
    </row>
    <row r="5">
      <c r="A5" t="inlineStr">
        <is>
          <t>Utilities</t>
        </is>
      </c>
      <c r="B5" s="3" t="n">
        <v>200</v>
      </c>
      <c r="D5" t="inlineStr">
        <is>
          <t>Current Emergency Fund</t>
        </is>
      </c>
      <c r="E5" s="3" t="n">
        <v>1000</v>
      </c>
      <c r="G5" t="n">
        <v>1</v>
      </c>
      <c r="H5" s="5">
        <f>E5</f>
        <v/>
      </c>
      <c r="I5" s="5">
        <f>E6</f>
        <v/>
      </c>
      <c r="J5" s="5">
        <f>H5*(E7/12)</f>
        <v/>
      </c>
      <c r="K5" s="5">
        <f>H5+I5+J5</f>
        <v/>
      </c>
    </row>
    <row r="6">
      <c r="A6" t="inlineStr">
        <is>
          <t>Groceries</t>
        </is>
      </c>
      <c r="B6" s="3" t="n">
        <v>450</v>
      </c>
      <c r="D6" t="inlineStr">
        <is>
          <t>Monthly Contribution</t>
        </is>
      </c>
      <c r="E6" s="3" t="n">
        <v>250</v>
      </c>
      <c r="G6" t="n">
        <v>2</v>
      </c>
      <c r="H6" s="5">
        <f>K5</f>
        <v/>
      </c>
      <c r="I6" s="5">
        <f>E6</f>
        <v/>
      </c>
      <c r="J6" s="5">
        <f>H6*(E7/12)</f>
        <v/>
      </c>
      <c r="K6" s="5">
        <f>H6+I6+J6</f>
        <v/>
      </c>
    </row>
    <row r="7">
      <c r="A7" t="inlineStr">
        <is>
          <t>Transportation</t>
        </is>
      </c>
      <c r="B7" s="3" t="n">
        <v>250</v>
      </c>
      <c r="D7" t="inlineStr">
        <is>
          <t>Annual Yield on Savings</t>
        </is>
      </c>
      <c r="E7" s="6" t="n">
        <v>0</v>
      </c>
      <c r="G7" t="n">
        <v>3</v>
      </c>
      <c r="H7" s="5">
        <f>K6</f>
        <v/>
      </c>
      <c r="I7" s="5">
        <f>E6</f>
        <v/>
      </c>
      <c r="J7" s="5">
        <f>H7*(E7/12)</f>
        <v/>
      </c>
      <c r="K7" s="5">
        <f>H7+I7+J7</f>
        <v/>
      </c>
    </row>
    <row r="8">
      <c r="A8" t="inlineStr">
        <is>
          <t>Insurance</t>
        </is>
      </c>
      <c r="B8" s="3" t="n">
        <v>200</v>
      </c>
      <c r="G8" t="n">
        <v>4</v>
      </c>
      <c r="H8" s="5">
        <f>K7</f>
        <v/>
      </c>
      <c r="I8" s="5">
        <f>E6</f>
        <v/>
      </c>
      <c r="J8" s="5">
        <f>H8*(E7/12)</f>
        <v/>
      </c>
      <c r="K8" s="5">
        <f>H8+I8+J8</f>
        <v/>
      </c>
    </row>
    <row r="9">
      <c r="A9" t="inlineStr">
        <is>
          <t>Debt Minimums</t>
        </is>
      </c>
      <c r="B9" s="3" t="n">
        <v>150</v>
      </c>
      <c r="D9" s="2" t="inlineStr">
        <is>
          <t>Progress Summary</t>
        </is>
      </c>
      <c r="G9" t="n">
        <v>5</v>
      </c>
      <c r="H9" s="5">
        <f>K8</f>
        <v/>
      </c>
      <c r="I9" s="5">
        <f>E6</f>
        <v/>
      </c>
      <c r="J9" s="5">
        <f>H9*(E7/12)</f>
        <v/>
      </c>
      <c r="K9" s="5">
        <f>H9+I9+J9</f>
        <v/>
      </c>
    </row>
    <row r="10">
      <c r="A10" t="inlineStr">
        <is>
          <t>Medical / Prescriptions</t>
        </is>
      </c>
      <c r="B10" s="3" t="n">
        <v>75</v>
      </c>
      <c r="D10" s="7" t="inlineStr">
        <is>
          <t>Target Emergency Fund</t>
        </is>
      </c>
      <c r="E10" s="5">
        <f>B13*E4</f>
        <v/>
      </c>
      <c r="G10" t="n">
        <v>6</v>
      </c>
      <c r="H10" s="5">
        <f>K9</f>
        <v/>
      </c>
      <c r="I10" s="5">
        <f>E6</f>
        <v/>
      </c>
      <c r="J10" s="5">
        <f>H10*(E7/12)</f>
        <v/>
      </c>
      <c r="K10" s="5">
        <f>H10+I10+J10</f>
        <v/>
      </c>
    </row>
    <row r="11">
      <c r="A11" t="inlineStr">
        <is>
          <t>Childcare / Family</t>
        </is>
      </c>
      <c r="B11" s="3" t="n">
        <v>0</v>
      </c>
      <c r="D11" s="7" t="inlineStr">
        <is>
          <t>Funding Gap</t>
        </is>
      </c>
      <c r="E11" s="5">
        <f>MAX(0,E10-E5)</f>
        <v/>
      </c>
      <c r="G11" t="n">
        <v>7</v>
      </c>
      <c r="H11" s="5">
        <f>K10</f>
        <v/>
      </c>
      <c r="I11" s="5">
        <f>E6</f>
        <v/>
      </c>
      <c r="J11" s="5">
        <f>H11*(E7/12)</f>
        <v/>
      </c>
      <c r="K11" s="5">
        <f>H11+I11+J11</f>
        <v/>
      </c>
    </row>
    <row r="12">
      <c r="A12" t="inlineStr">
        <is>
          <t>Other Essentials</t>
        </is>
      </c>
      <c r="B12" s="3" t="n">
        <v>100</v>
      </c>
      <c r="D12" s="7" t="inlineStr">
        <is>
          <t>Funded %</t>
        </is>
      </c>
      <c r="E12" s="8">
        <f>IF(E10=0,"",E5/E10)</f>
        <v/>
      </c>
      <c r="G12" t="n">
        <v>8</v>
      </c>
      <c r="H12" s="5">
        <f>K11</f>
        <v/>
      </c>
      <c r="I12" s="5">
        <f>E6</f>
        <v/>
      </c>
      <c r="J12" s="5">
        <f>H12*(E7/12)</f>
        <v/>
      </c>
      <c r="K12" s="5">
        <f>H12+I12+J12</f>
        <v/>
      </c>
    </row>
    <row r="13">
      <c r="A13" s="9" t="inlineStr">
        <is>
          <t>Total Essential Expenses</t>
        </is>
      </c>
      <c r="B13" s="10">
        <f>SUM(B4:B12)</f>
        <v/>
      </c>
      <c r="D13" s="7" t="inlineStr">
        <is>
          <t>Months Remaining</t>
        </is>
      </c>
      <c r="E13" s="11">
        <f>IF(E6=0,"",MAX(0,(E10-E5)/E6))</f>
        <v/>
      </c>
      <c r="G13" t="n">
        <v>9</v>
      </c>
      <c r="H13" s="5">
        <f>K12</f>
        <v/>
      </c>
      <c r="I13" s="5">
        <f>E6</f>
        <v/>
      </c>
      <c r="J13" s="5">
        <f>H13*(E7/12)</f>
        <v/>
      </c>
      <c r="K13" s="5">
        <f>H13+I13+J13</f>
        <v/>
      </c>
    </row>
    <row r="14">
      <c r="G14" t="n">
        <v>10</v>
      </c>
      <c r="H14" s="5">
        <f>K13</f>
        <v/>
      </c>
      <c r="I14" s="5">
        <f>E6</f>
        <v/>
      </c>
      <c r="J14" s="5">
        <f>H14*(E7/12)</f>
        <v/>
      </c>
      <c r="K14" s="5">
        <f>H14+I14+J14</f>
        <v/>
      </c>
    </row>
    <row r="15">
      <c r="G15" t="n">
        <v>11</v>
      </c>
      <c r="H15" s="5">
        <f>K14</f>
        <v/>
      </c>
      <c r="I15" s="5">
        <f>E6</f>
        <v/>
      </c>
      <c r="J15" s="5">
        <f>H15*(E7/12)</f>
        <v/>
      </c>
      <c r="K15" s="5">
        <f>H15+I15+J15</f>
        <v/>
      </c>
    </row>
    <row r="16">
      <c r="G16" t="n">
        <v>12</v>
      </c>
      <c r="H16" s="5">
        <f>K15</f>
        <v/>
      </c>
      <c r="I16" s="5">
        <f>E6</f>
        <v/>
      </c>
      <c r="J16" s="5">
        <f>H16*(E7/12)</f>
        <v/>
      </c>
      <c r="K16" s="5">
        <f>H16+I16+J16</f>
        <v/>
      </c>
    </row>
    <row r="18">
      <c r="G18" s="9" t="inlineStr">
        <is>
          <t>Projected 12-Month Balance</t>
        </is>
      </c>
      <c r="K18" s="12">
        <f>K16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2026-03-07T04:36:53Z</dcterms:created>
  <dcterms:modified xmlns:dcterms="http://purl.org/dc/terms/" xmlns:xsi="http://www.w3.org/2001/XMLSchema-instance" xsi:type="dcterms:W3CDTF">2026-03-07T04:36:53Z</dcterms:modified>
</cp:coreProperties>
</file>